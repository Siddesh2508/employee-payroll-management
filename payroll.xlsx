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g/Documents/"/>
    </mc:Choice>
  </mc:AlternateContent>
  <xr:revisionPtr revIDLastSave="0" documentId="13_ncr:1_{8A30DFFC-7EEB-C544-B4B7-4EA3269B1DA3}" xr6:coauthVersionLast="47" xr6:coauthVersionMax="47" xr10:uidLastSave="{00000000-0000-0000-0000-000000000000}"/>
  <bookViews>
    <workbookView xWindow="680" yWindow="740" windowWidth="28040" windowHeight="17160" xr2:uid="{18BCE622-E04C-394D-AF6A-E24021F17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AA3" i="1" s="1"/>
  <c r="AB3" i="1" s="1"/>
  <c r="Y3" i="1"/>
  <c r="T3" i="1"/>
  <c r="U3" i="1" s="1"/>
  <c r="V3" i="1" s="1"/>
  <c r="W3" i="1" s="1"/>
  <c r="P4" i="1"/>
  <c r="P23" i="1" s="1"/>
  <c r="Q4" i="1"/>
  <c r="Q23" i="1" s="1"/>
  <c r="R4" i="1"/>
  <c r="R22" i="1" s="1"/>
  <c r="P5" i="1"/>
  <c r="Z5" i="1" s="1"/>
  <c r="Q5" i="1"/>
  <c r="AA5" i="1" s="1"/>
  <c r="R5" i="1"/>
  <c r="P6" i="1"/>
  <c r="Z6" i="1" s="1"/>
  <c r="Q6" i="1"/>
  <c r="AA6" i="1" s="1"/>
  <c r="R6" i="1"/>
  <c r="AB6" i="1" s="1"/>
  <c r="P7" i="1"/>
  <c r="Q7" i="1"/>
  <c r="R7" i="1"/>
  <c r="AB7" i="1" s="1"/>
  <c r="P8" i="1"/>
  <c r="Z8" i="1" s="1"/>
  <c r="Q8" i="1"/>
  <c r="R8" i="1"/>
  <c r="P9" i="1"/>
  <c r="Q9" i="1"/>
  <c r="R9" i="1"/>
  <c r="P10" i="1"/>
  <c r="Z10" i="1" s="1"/>
  <c r="Q10" i="1"/>
  <c r="AA10" i="1" s="1"/>
  <c r="R10" i="1"/>
  <c r="AB10" i="1" s="1"/>
  <c r="P11" i="1"/>
  <c r="Q11" i="1"/>
  <c r="R11" i="1"/>
  <c r="AB11" i="1" s="1"/>
  <c r="P12" i="1"/>
  <c r="Q12" i="1"/>
  <c r="R12" i="1"/>
  <c r="P13" i="1"/>
  <c r="Z13" i="1" s="1"/>
  <c r="Q13" i="1"/>
  <c r="AA13" i="1" s="1"/>
  <c r="R13" i="1"/>
  <c r="P14" i="1"/>
  <c r="Z14" i="1" s="1"/>
  <c r="Q14" i="1"/>
  <c r="AA14" i="1" s="1"/>
  <c r="R14" i="1"/>
  <c r="AB14" i="1" s="1"/>
  <c r="P15" i="1"/>
  <c r="Q15" i="1"/>
  <c r="R15" i="1"/>
  <c r="AB15" i="1" s="1"/>
  <c r="P16" i="1"/>
  <c r="Z16" i="1" s="1"/>
  <c r="Q16" i="1"/>
  <c r="R16" i="1"/>
  <c r="P17" i="1"/>
  <c r="Q17" i="1"/>
  <c r="R17" i="1"/>
  <c r="P18" i="1"/>
  <c r="Z18" i="1" s="1"/>
  <c r="Q18" i="1"/>
  <c r="AA18" i="1" s="1"/>
  <c r="R18" i="1"/>
  <c r="AB18" i="1" s="1"/>
  <c r="P19" i="1"/>
  <c r="Q19" i="1"/>
  <c r="R19" i="1"/>
  <c r="AB19" i="1" s="1"/>
  <c r="P20" i="1"/>
  <c r="Q20" i="1"/>
  <c r="R20" i="1"/>
  <c r="O20" i="1"/>
  <c r="O19" i="1"/>
  <c r="Y19" i="1" s="1"/>
  <c r="O18" i="1"/>
  <c r="O17" i="1"/>
  <c r="O16" i="1"/>
  <c r="O15" i="1"/>
  <c r="O14" i="1"/>
  <c r="O13" i="1"/>
  <c r="Y13" i="1" s="1"/>
  <c r="O12" i="1"/>
  <c r="O11" i="1"/>
  <c r="Y11" i="1" s="1"/>
  <c r="O10" i="1"/>
  <c r="O9" i="1"/>
  <c r="O8" i="1"/>
  <c r="O7" i="1"/>
  <c r="O6" i="1"/>
  <c r="O5" i="1"/>
  <c r="Y5" i="1" s="1"/>
  <c r="O4" i="1"/>
  <c r="O23" i="1" s="1"/>
  <c r="N4" i="1"/>
  <c r="O3" i="1"/>
  <c r="P3" i="1" s="1"/>
  <c r="Q3" i="1" s="1"/>
  <c r="R3" i="1" s="1"/>
  <c r="K4" i="1"/>
  <c r="U4" i="1" s="1"/>
  <c r="E3" i="1"/>
  <c r="F3" i="1" s="1"/>
  <c r="G3" i="1" s="1"/>
  <c r="H3" i="1" s="1"/>
  <c r="J3" i="1"/>
  <c r="K3" i="1" s="1"/>
  <c r="L3" i="1" s="1"/>
  <c r="M3" i="1" s="1"/>
  <c r="I4" i="1"/>
  <c r="S4" i="1" s="1"/>
  <c r="J4" i="1"/>
  <c r="T4" i="1" s="1"/>
  <c r="L4" i="1"/>
  <c r="V4" i="1" s="1"/>
  <c r="M4" i="1"/>
  <c r="W4" i="1" s="1"/>
  <c r="I5" i="1"/>
  <c r="S5" i="1" s="1"/>
  <c r="J5" i="1"/>
  <c r="T5" i="1" s="1"/>
  <c r="K5" i="1"/>
  <c r="U5" i="1" s="1"/>
  <c r="L5" i="1"/>
  <c r="V5" i="1" s="1"/>
  <c r="M5" i="1"/>
  <c r="W5" i="1" s="1"/>
  <c r="N5" i="1"/>
  <c r="I6" i="1"/>
  <c r="S6" i="1" s="1"/>
  <c r="X6" i="1" s="1"/>
  <c r="J6" i="1"/>
  <c r="T6" i="1" s="1"/>
  <c r="K6" i="1"/>
  <c r="U6" i="1" s="1"/>
  <c r="L6" i="1"/>
  <c r="V6" i="1" s="1"/>
  <c r="M6" i="1"/>
  <c r="W6" i="1" s="1"/>
  <c r="N6" i="1"/>
  <c r="I7" i="1"/>
  <c r="S7" i="1" s="1"/>
  <c r="J7" i="1"/>
  <c r="T7" i="1" s="1"/>
  <c r="K7" i="1"/>
  <c r="U7" i="1" s="1"/>
  <c r="L7" i="1"/>
  <c r="V7" i="1" s="1"/>
  <c r="M7" i="1"/>
  <c r="W7" i="1" s="1"/>
  <c r="N7" i="1"/>
  <c r="I8" i="1"/>
  <c r="S8" i="1" s="1"/>
  <c r="J8" i="1"/>
  <c r="T8" i="1" s="1"/>
  <c r="K8" i="1"/>
  <c r="U8" i="1" s="1"/>
  <c r="L8" i="1"/>
  <c r="V8" i="1" s="1"/>
  <c r="M8" i="1"/>
  <c r="W8" i="1" s="1"/>
  <c r="N8" i="1"/>
  <c r="I9" i="1"/>
  <c r="S9" i="1" s="1"/>
  <c r="J9" i="1"/>
  <c r="T9" i="1" s="1"/>
  <c r="K9" i="1"/>
  <c r="U9" i="1" s="1"/>
  <c r="L9" i="1"/>
  <c r="V9" i="1" s="1"/>
  <c r="M9" i="1"/>
  <c r="W9" i="1" s="1"/>
  <c r="N9" i="1"/>
  <c r="I10" i="1"/>
  <c r="S10" i="1" s="1"/>
  <c r="X10" i="1" s="1"/>
  <c r="J10" i="1"/>
  <c r="T10" i="1" s="1"/>
  <c r="K10" i="1"/>
  <c r="U10" i="1" s="1"/>
  <c r="L10" i="1"/>
  <c r="V10" i="1" s="1"/>
  <c r="M10" i="1"/>
  <c r="W10" i="1" s="1"/>
  <c r="N10" i="1"/>
  <c r="I11" i="1"/>
  <c r="S11" i="1" s="1"/>
  <c r="J11" i="1"/>
  <c r="T11" i="1" s="1"/>
  <c r="K11" i="1"/>
  <c r="U11" i="1" s="1"/>
  <c r="L11" i="1"/>
  <c r="V11" i="1" s="1"/>
  <c r="M11" i="1"/>
  <c r="W11" i="1" s="1"/>
  <c r="N11" i="1"/>
  <c r="I12" i="1"/>
  <c r="S12" i="1" s="1"/>
  <c r="J12" i="1"/>
  <c r="T12" i="1" s="1"/>
  <c r="K12" i="1"/>
  <c r="U12" i="1" s="1"/>
  <c r="L12" i="1"/>
  <c r="V12" i="1" s="1"/>
  <c r="M12" i="1"/>
  <c r="W12" i="1" s="1"/>
  <c r="N12" i="1"/>
  <c r="I13" i="1"/>
  <c r="S13" i="1" s="1"/>
  <c r="J13" i="1"/>
  <c r="T13" i="1" s="1"/>
  <c r="K13" i="1"/>
  <c r="U13" i="1" s="1"/>
  <c r="L13" i="1"/>
  <c r="V13" i="1" s="1"/>
  <c r="M13" i="1"/>
  <c r="W13" i="1" s="1"/>
  <c r="N13" i="1"/>
  <c r="I14" i="1"/>
  <c r="S14" i="1" s="1"/>
  <c r="J14" i="1"/>
  <c r="T14" i="1" s="1"/>
  <c r="K14" i="1"/>
  <c r="U14" i="1" s="1"/>
  <c r="L14" i="1"/>
  <c r="V14" i="1" s="1"/>
  <c r="M14" i="1"/>
  <c r="W14" i="1" s="1"/>
  <c r="N14" i="1"/>
  <c r="I15" i="1"/>
  <c r="S15" i="1" s="1"/>
  <c r="J15" i="1"/>
  <c r="T15" i="1" s="1"/>
  <c r="K15" i="1"/>
  <c r="U15" i="1" s="1"/>
  <c r="L15" i="1"/>
  <c r="V15" i="1" s="1"/>
  <c r="M15" i="1"/>
  <c r="W15" i="1" s="1"/>
  <c r="N15" i="1"/>
  <c r="I16" i="1"/>
  <c r="S16" i="1" s="1"/>
  <c r="J16" i="1"/>
  <c r="T16" i="1" s="1"/>
  <c r="K16" i="1"/>
  <c r="U16" i="1" s="1"/>
  <c r="L16" i="1"/>
  <c r="V16" i="1" s="1"/>
  <c r="M16" i="1"/>
  <c r="W16" i="1" s="1"/>
  <c r="N16" i="1"/>
  <c r="I17" i="1"/>
  <c r="S17" i="1" s="1"/>
  <c r="J17" i="1"/>
  <c r="T17" i="1" s="1"/>
  <c r="K17" i="1"/>
  <c r="U17" i="1" s="1"/>
  <c r="L17" i="1"/>
  <c r="V17" i="1" s="1"/>
  <c r="M17" i="1"/>
  <c r="W17" i="1" s="1"/>
  <c r="N17" i="1"/>
  <c r="I18" i="1"/>
  <c r="S18" i="1" s="1"/>
  <c r="J18" i="1"/>
  <c r="T18" i="1" s="1"/>
  <c r="K18" i="1"/>
  <c r="U18" i="1" s="1"/>
  <c r="L18" i="1"/>
  <c r="V18" i="1" s="1"/>
  <c r="M18" i="1"/>
  <c r="W18" i="1" s="1"/>
  <c r="N18" i="1"/>
  <c r="I19" i="1"/>
  <c r="S19" i="1" s="1"/>
  <c r="J19" i="1"/>
  <c r="T19" i="1" s="1"/>
  <c r="K19" i="1"/>
  <c r="U19" i="1" s="1"/>
  <c r="L19" i="1"/>
  <c r="V19" i="1" s="1"/>
  <c r="M19" i="1"/>
  <c r="W19" i="1" s="1"/>
  <c r="N19" i="1"/>
  <c r="I20" i="1"/>
  <c r="S20" i="1" s="1"/>
  <c r="J20" i="1"/>
  <c r="T20" i="1" s="1"/>
  <c r="K20" i="1"/>
  <c r="U20" i="1" s="1"/>
  <c r="L20" i="1"/>
  <c r="V20" i="1" s="1"/>
  <c r="M20" i="1"/>
  <c r="W20" i="1" s="1"/>
  <c r="N20" i="1"/>
  <c r="C22" i="1"/>
  <c r="D22" i="1"/>
  <c r="C23" i="1"/>
  <c r="D23" i="1"/>
  <c r="C24" i="1"/>
  <c r="D24" i="1"/>
  <c r="D25" i="1"/>
  <c r="AD10" i="1" l="1"/>
  <c r="V23" i="1"/>
  <c r="V25" i="1"/>
  <c r="V22" i="1"/>
  <c r="V24" i="1"/>
  <c r="Y12" i="1"/>
  <c r="Y20" i="1"/>
  <c r="W23" i="1"/>
  <c r="W25" i="1"/>
  <c r="W22" i="1"/>
  <c r="W24" i="1"/>
  <c r="T22" i="1"/>
  <c r="T24" i="1"/>
  <c r="T23" i="1"/>
  <c r="T25" i="1"/>
  <c r="AB20" i="1"/>
  <c r="AA15" i="1"/>
  <c r="AB12" i="1"/>
  <c r="AA7" i="1"/>
  <c r="S22" i="1"/>
  <c r="S24" i="1"/>
  <c r="S23" i="1"/>
  <c r="S25" i="1"/>
  <c r="Y6" i="1"/>
  <c r="AD6" i="1" s="1"/>
  <c r="Y14" i="1"/>
  <c r="AA20" i="1"/>
  <c r="AB17" i="1"/>
  <c r="Z15" i="1"/>
  <c r="AA12" i="1"/>
  <c r="AB9" i="1"/>
  <c r="Z7" i="1"/>
  <c r="Y7" i="1"/>
  <c r="Y15" i="1"/>
  <c r="Z20" i="1"/>
  <c r="AA17" i="1"/>
  <c r="Z12" i="1"/>
  <c r="AA9" i="1"/>
  <c r="Y8" i="1"/>
  <c r="Y16" i="1"/>
  <c r="Z17" i="1"/>
  <c r="Z9" i="1"/>
  <c r="U22" i="1"/>
  <c r="U24" i="1"/>
  <c r="U23" i="1"/>
  <c r="U25" i="1"/>
  <c r="Y9" i="1"/>
  <c r="Y17" i="1"/>
  <c r="AA19" i="1"/>
  <c r="AB16" i="1"/>
  <c r="AA11" i="1"/>
  <c r="AB8" i="1"/>
  <c r="Y10" i="1"/>
  <c r="Y18" i="1"/>
  <c r="Z19" i="1"/>
  <c r="AA16" i="1"/>
  <c r="AB13" i="1"/>
  <c r="Z11" i="1"/>
  <c r="AA8" i="1"/>
  <c r="AB5" i="1"/>
  <c r="AA4" i="1"/>
  <c r="Q24" i="1"/>
  <c r="Q22" i="1"/>
  <c r="Y4" i="1"/>
  <c r="P24" i="1"/>
  <c r="P22" i="1"/>
  <c r="Z4" i="1"/>
  <c r="O24" i="1"/>
  <c r="O22" i="1"/>
  <c r="R25" i="1"/>
  <c r="R23" i="1"/>
  <c r="Q25" i="1"/>
  <c r="P25" i="1"/>
  <c r="O25" i="1"/>
  <c r="AB4" i="1"/>
  <c r="R24" i="1"/>
  <c r="X11" i="1"/>
  <c r="AD11" i="1" s="1"/>
  <c r="X12" i="1"/>
  <c r="X17" i="1"/>
  <c r="X7" i="1"/>
  <c r="X8" i="1"/>
  <c r="AD8" i="1" s="1"/>
  <c r="X13" i="1"/>
  <c r="X9" i="1"/>
  <c r="X5" i="1"/>
  <c r="AD5" i="1" s="1"/>
  <c r="X19" i="1"/>
  <c r="X18" i="1"/>
  <c r="AD18" i="1" s="1"/>
  <c r="X20" i="1"/>
  <c r="X16" i="1"/>
  <c r="AD16" i="1" s="1"/>
  <c r="X4" i="1"/>
  <c r="N24" i="1"/>
  <c r="X14" i="1"/>
  <c r="AD14" i="1" s="1"/>
  <c r="N23" i="1"/>
  <c r="X15" i="1"/>
  <c r="AD15" i="1" s="1"/>
  <c r="N25" i="1"/>
  <c r="N22" i="1"/>
  <c r="X23" i="1" l="1"/>
  <c r="X25" i="1"/>
  <c r="AD4" i="1"/>
  <c r="X22" i="1"/>
  <c r="X24" i="1"/>
  <c r="Y23" i="1"/>
  <c r="Y25" i="1"/>
  <c r="Y22" i="1"/>
  <c r="Y24" i="1"/>
  <c r="AA24" i="1"/>
  <c r="AA25" i="1"/>
  <c r="AA22" i="1"/>
  <c r="AA23" i="1"/>
  <c r="AD17" i="1"/>
  <c r="AD12" i="1"/>
  <c r="AD9" i="1"/>
  <c r="AB23" i="1"/>
  <c r="AB24" i="1"/>
  <c r="AB25" i="1"/>
  <c r="AB22" i="1"/>
  <c r="Z22" i="1"/>
  <c r="Z24" i="1"/>
  <c r="Z23" i="1"/>
  <c r="Z25" i="1"/>
  <c r="AD7" i="1"/>
  <c r="AD20" i="1"/>
  <c r="AD19" i="1"/>
  <c r="AD13" i="1"/>
  <c r="AD22" i="1" l="1"/>
  <c r="AD25" i="1"/>
  <c r="AD24" i="1"/>
  <c r="AD23" i="1"/>
</calcChain>
</file>

<file path=xl/sharedStrings.xml><?xml version="1.0" encoding="utf-8"?>
<sst xmlns="http://schemas.openxmlformats.org/spreadsheetml/2006/main" count="51" uniqueCount="50">
  <si>
    <t>Employee  Payroll</t>
  </si>
  <si>
    <t>Last Name</t>
  </si>
  <si>
    <t>First name</t>
  </si>
  <si>
    <t>Houraly wage</t>
  </si>
  <si>
    <t>House work ed Pay</t>
  </si>
  <si>
    <t xml:space="preserve">gangdha </t>
  </si>
  <si>
    <t>sid</t>
  </si>
  <si>
    <t>lokesh</t>
  </si>
  <si>
    <t>nandan</t>
  </si>
  <si>
    <t>prabhu</t>
  </si>
  <si>
    <t>manohar</t>
  </si>
  <si>
    <t>vishwanath</t>
  </si>
  <si>
    <t>sattesh</t>
  </si>
  <si>
    <t>kunchigar</t>
  </si>
  <si>
    <t>abhi</t>
  </si>
  <si>
    <t>basavraj</t>
  </si>
  <si>
    <t>gidda</t>
  </si>
  <si>
    <t>suresh</t>
  </si>
  <si>
    <t>akash</t>
  </si>
  <si>
    <t>jagdesh</t>
  </si>
  <si>
    <t>indar</t>
  </si>
  <si>
    <t>mahesh</t>
  </si>
  <si>
    <t>preethu</t>
  </si>
  <si>
    <t>rudresh</t>
  </si>
  <si>
    <t>prathap</t>
  </si>
  <si>
    <t>prakash</t>
  </si>
  <si>
    <t>ravi</t>
  </si>
  <si>
    <t>narappa</t>
  </si>
  <si>
    <t>thippu</t>
  </si>
  <si>
    <t>chandra</t>
  </si>
  <si>
    <t>nata</t>
  </si>
  <si>
    <t>siddesh</t>
  </si>
  <si>
    <t>teju</t>
  </si>
  <si>
    <t>dhanu</t>
  </si>
  <si>
    <t>mokshi</t>
  </si>
  <si>
    <t>andreson</t>
  </si>
  <si>
    <t>shea</t>
  </si>
  <si>
    <t>rajesh</t>
  </si>
  <si>
    <t>kamat</t>
  </si>
  <si>
    <t>max</t>
  </si>
  <si>
    <t>min</t>
  </si>
  <si>
    <t>average</t>
  </si>
  <si>
    <t>total</t>
  </si>
  <si>
    <t>Mr.sid</t>
  </si>
  <si>
    <t xml:space="preserve">overtime hours </t>
  </si>
  <si>
    <t>Overtime bonus</t>
  </si>
  <si>
    <t>Total</t>
  </si>
  <si>
    <t xml:space="preserve"> </t>
  </si>
  <si>
    <t>pay</t>
  </si>
  <si>
    <t>jan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</si>
</sst>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£&quot;* #,##0.00_);_(&quot;£&quot;* \(#,##0.00\);_(&quot;£&quot;* &quot;-&quot;??_);_(@_)"/>
    <numFmt numFmtId="164" formatCode="_-[$£-809]* #,##0.00_-;\-[$£-809]* #,##0.00_-;_-[$£-809]* &quot;-&quot;??_-;_-@_-"/>
    <numFmt numFmtId="165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44" fontId="0" fillId="0" borderId="0" xfId="1" applyFont="1"/>
    <xf numFmtId="44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164" fontId="0" fillId="4" borderId="0" xfId="0" applyNumberFormat="1" applyFill="1"/>
    <xf numFmtId="16" fontId="0" fillId="5" borderId="0" xfId="0" applyNumberFormat="1" applyFill="1"/>
    <xf numFmtId="164" fontId="0" fillId="5" borderId="0" xfId="0" applyNumberFormat="1" applyFill="1"/>
    <xf numFmtId="16" fontId="0" fillId="6" borderId="0" xfId="0" applyNumberFormat="1" applyFill="1"/>
    <xf numFmtId="164" fontId="0" fillId="6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2801-59AF-AC4C-B300-2C693F0A134D}">
  <dimension ref="A1:AD25"/>
  <sheetViews>
    <sheetView tabSelected="1" topLeftCell="C1" zoomScale="150" workbookViewId="0">
      <selection activeCell="E32" sqref="A1:XFD1048576"/>
    </sheetView>
  </sheetViews>
  <sheetFormatPr baseColWidth="10" defaultColWidth="17.5" defaultRowHeight="16" x14ac:dyDescent="0.2"/>
  <sheetData>
    <row r="1" spans="1:30" x14ac:dyDescent="0.2">
      <c r="A1" t="s">
        <v>0</v>
      </c>
      <c r="C1" t="s">
        <v>43</v>
      </c>
    </row>
    <row r="2" spans="1:30" x14ac:dyDescent="0.2">
      <c r="C2" s="4"/>
      <c r="D2" t="s">
        <v>4</v>
      </c>
      <c r="I2" t="s">
        <v>44</v>
      </c>
      <c r="N2" t="s">
        <v>48</v>
      </c>
      <c r="S2" t="s">
        <v>45</v>
      </c>
      <c r="T2" t="s">
        <v>46</v>
      </c>
      <c r="X2" t="s">
        <v>46</v>
      </c>
      <c r="AD2" t="s">
        <v>49</v>
      </c>
    </row>
    <row r="3" spans="1:30" x14ac:dyDescent="0.2">
      <c r="A3" t="s">
        <v>1</v>
      </c>
      <c r="B3" t="s">
        <v>2</v>
      </c>
      <c r="C3" t="s">
        <v>3</v>
      </c>
      <c r="D3" s="5">
        <v>45658</v>
      </c>
      <c r="E3" s="5">
        <f>D3+7</f>
        <v>45665</v>
      </c>
      <c r="F3" s="5">
        <f t="shared" ref="F3:H3" si="0">E3+7</f>
        <v>45672</v>
      </c>
      <c r="G3" s="5">
        <f t="shared" si="0"/>
        <v>45679</v>
      </c>
      <c r="H3" s="5">
        <f t="shared" si="0"/>
        <v>45686</v>
      </c>
      <c r="I3" s="7">
        <v>36892</v>
      </c>
      <c r="J3" s="7">
        <f>I3+7</f>
        <v>36899</v>
      </c>
      <c r="K3" s="7">
        <f t="shared" ref="K3:M3" si="1">J3+7</f>
        <v>36906</v>
      </c>
      <c r="L3" s="7">
        <f t="shared" si="1"/>
        <v>36913</v>
      </c>
      <c r="M3" s="7">
        <f t="shared" si="1"/>
        <v>36920</v>
      </c>
      <c r="N3" s="9">
        <v>45658</v>
      </c>
      <c r="O3" s="9">
        <f>N3+7</f>
        <v>45665</v>
      </c>
      <c r="P3" s="9">
        <f t="shared" ref="P3:R3" si="2">O3+7</f>
        <v>45672</v>
      </c>
      <c r="Q3" s="9">
        <f t="shared" si="2"/>
        <v>45679</v>
      </c>
      <c r="R3" s="9">
        <f t="shared" si="2"/>
        <v>45686</v>
      </c>
      <c r="S3" s="11">
        <v>45658</v>
      </c>
      <c r="T3" s="11">
        <f>S3+7</f>
        <v>45665</v>
      </c>
      <c r="U3" s="11">
        <f t="shared" ref="U3:W3" si="3">T3+7</f>
        <v>45672</v>
      </c>
      <c r="V3" s="11">
        <f t="shared" si="3"/>
        <v>45679</v>
      </c>
      <c r="W3" s="11">
        <f t="shared" si="3"/>
        <v>45686</v>
      </c>
      <c r="X3" s="13">
        <v>45658</v>
      </c>
      <c r="Y3" s="13">
        <f>X3+7</f>
        <v>45665</v>
      </c>
      <c r="Z3" s="13">
        <f t="shared" ref="Z3:AB3" si="4">Y3+7</f>
        <v>45672</v>
      </c>
      <c r="AA3" s="13">
        <f t="shared" si="4"/>
        <v>45679</v>
      </c>
      <c r="AB3" s="13">
        <f t="shared" si="4"/>
        <v>45686</v>
      </c>
    </row>
    <row r="4" spans="1:30" x14ac:dyDescent="0.2">
      <c r="A4" t="s">
        <v>5</v>
      </c>
      <c r="B4" t="s">
        <v>6</v>
      </c>
      <c r="C4" s="1">
        <v>12.31</v>
      </c>
      <c r="D4" s="6">
        <v>45</v>
      </c>
      <c r="E4" s="6">
        <v>46</v>
      </c>
      <c r="F4" s="6">
        <v>38</v>
      </c>
      <c r="G4" s="6">
        <v>42</v>
      </c>
      <c r="H4" s="6">
        <v>40</v>
      </c>
      <c r="I4" s="8">
        <f>IF(D4&gt;40,D4-40,0)</f>
        <v>5</v>
      </c>
      <c r="J4" s="8">
        <f>IF(E4&gt;40,E4-40,0)</f>
        <v>6</v>
      </c>
      <c r="K4" s="8">
        <f>IF(F4&gt;40,F4-40,0)</f>
        <v>0</v>
      </c>
      <c r="L4" s="8">
        <f>IF(G4&gt;40,G4-40,0)</f>
        <v>2</v>
      </c>
      <c r="M4" s="8">
        <f>IF(H4&gt;40,H4-40,0)</f>
        <v>0</v>
      </c>
      <c r="N4" s="10">
        <f>$C4*D4</f>
        <v>553.95000000000005</v>
      </c>
      <c r="O4" s="10">
        <f>$C4*E4</f>
        <v>566.26</v>
      </c>
      <c r="P4" s="10">
        <f t="shared" ref="P4:R4" si="5">$C4*F4</f>
        <v>467.78000000000003</v>
      </c>
      <c r="Q4" s="10">
        <f t="shared" si="5"/>
        <v>517.02</v>
      </c>
      <c r="R4" s="10">
        <f t="shared" si="5"/>
        <v>492.40000000000003</v>
      </c>
      <c r="S4" s="12">
        <f>0.5*$C4*I4</f>
        <v>30.775000000000002</v>
      </c>
      <c r="T4" s="12">
        <f>0.5*$C4*J4</f>
        <v>36.93</v>
      </c>
      <c r="U4" s="12">
        <f t="shared" ref="U4:W4" si="6">0.5*$C4*K4</f>
        <v>0</v>
      </c>
      <c r="V4" s="12">
        <f t="shared" si="6"/>
        <v>12.31</v>
      </c>
      <c r="W4" s="12">
        <f t="shared" si="6"/>
        <v>0</v>
      </c>
      <c r="X4" s="14">
        <f>N4+S4</f>
        <v>584.72500000000002</v>
      </c>
      <c r="Y4" s="14">
        <f>O4+T4</f>
        <v>603.18999999999994</v>
      </c>
      <c r="Z4" s="14">
        <f>P4+U4</f>
        <v>467.78000000000003</v>
      </c>
      <c r="AA4" s="14">
        <f t="shared" ref="Y4:AB19" si="7">Q4+V4</f>
        <v>529.32999999999993</v>
      </c>
      <c r="AB4" s="14">
        <f t="shared" si="7"/>
        <v>492.40000000000003</v>
      </c>
      <c r="AD4" s="1">
        <f>SUM(X4:AB4)</f>
        <v>2677.4249999999997</v>
      </c>
    </row>
    <row r="5" spans="1:30" x14ac:dyDescent="0.2">
      <c r="A5" t="s">
        <v>7</v>
      </c>
      <c r="B5" t="s">
        <v>8</v>
      </c>
      <c r="C5" s="1">
        <v>15.49</v>
      </c>
      <c r="D5" s="6">
        <v>42</v>
      </c>
      <c r="E5" s="6">
        <v>43</v>
      </c>
      <c r="F5" s="6">
        <v>39</v>
      </c>
      <c r="G5" s="6">
        <v>44</v>
      </c>
      <c r="H5" s="6">
        <v>33</v>
      </c>
      <c r="I5" s="8">
        <f t="shared" ref="I5:M20" si="8">IF(D5&gt;40,D5-40,0)</f>
        <v>2</v>
      </c>
      <c r="J5" s="8">
        <f t="shared" ref="J5:J20" si="9">IF(E5&gt;40,E5-40,0)</f>
        <v>3</v>
      </c>
      <c r="K5" s="8">
        <f t="shared" si="8"/>
        <v>0</v>
      </c>
      <c r="L5" s="8">
        <f t="shared" si="8"/>
        <v>4</v>
      </c>
      <c r="M5" s="8">
        <f t="shared" si="8"/>
        <v>0</v>
      </c>
      <c r="N5" s="10">
        <f t="shared" ref="N5:N20" si="10">C5*D5</f>
        <v>650.58000000000004</v>
      </c>
      <c r="O5" s="10">
        <f t="shared" ref="O5:O20" si="11">D5*E5</f>
        <v>1806</v>
      </c>
      <c r="P5" s="10">
        <f t="shared" ref="P5:R20" si="12">E5*F5</f>
        <v>1677</v>
      </c>
      <c r="Q5" s="10">
        <f t="shared" si="12"/>
        <v>1716</v>
      </c>
      <c r="R5" s="10">
        <f t="shared" si="12"/>
        <v>1452</v>
      </c>
      <c r="S5" s="12">
        <f t="shared" ref="S5:S20" si="13">0.5*C5*I5</f>
        <v>15.49</v>
      </c>
      <c r="T5" s="12">
        <f t="shared" ref="T5:T20" si="14">0.5*D5*J5</f>
        <v>63</v>
      </c>
      <c r="U5" s="12">
        <f t="shared" ref="U5:W20" si="15">0.5*E5*K5</f>
        <v>0</v>
      </c>
      <c r="V5" s="12">
        <f t="shared" si="15"/>
        <v>78</v>
      </c>
      <c r="W5" s="12">
        <f t="shared" si="15"/>
        <v>0</v>
      </c>
      <c r="X5" s="14">
        <f t="shared" ref="X5:X20" si="16">N5+S5</f>
        <v>666.07</v>
      </c>
      <c r="Y5" s="14">
        <f t="shared" si="7"/>
        <v>1869</v>
      </c>
      <c r="Z5" s="14">
        <f t="shared" si="7"/>
        <v>1677</v>
      </c>
      <c r="AA5" s="14">
        <f t="shared" si="7"/>
        <v>1794</v>
      </c>
      <c r="AB5" s="14">
        <f t="shared" si="7"/>
        <v>1452</v>
      </c>
      <c r="AD5" s="1">
        <f t="shared" ref="AD5:AD20" si="17">SUM(X5:AB5)</f>
        <v>7458.07</v>
      </c>
    </row>
    <row r="6" spans="1:30" x14ac:dyDescent="0.2">
      <c r="A6" t="s">
        <v>9</v>
      </c>
      <c r="B6" t="s">
        <v>10</v>
      </c>
      <c r="C6" s="1">
        <v>14</v>
      </c>
      <c r="D6" s="6">
        <v>41</v>
      </c>
      <c r="E6" s="6">
        <v>42</v>
      </c>
      <c r="F6" s="6">
        <v>35</v>
      </c>
      <c r="G6" s="6">
        <v>45</v>
      </c>
      <c r="H6" s="6">
        <v>23</v>
      </c>
      <c r="I6" s="8">
        <f t="shared" si="8"/>
        <v>1</v>
      </c>
      <c r="J6" s="8">
        <f t="shared" si="9"/>
        <v>2</v>
      </c>
      <c r="K6" s="8">
        <f t="shared" si="8"/>
        <v>0</v>
      </c>
      <c r="L6" s="8">
        <f t="shared" si="8"/>
        <v>5</v>
      </c>
      <c r="M6" s="8">
        <f t="shared" si="8"/>
        <v>0</v>
      </c>
      <c r="N6" s="10">
        <f t="shared" si="10"/>
        <v>574</v>
      </c>
      <c r="O6" s="10">
        <f t="shared" si="11"/>
        <v>1722</v>
      </c>
      <c r="P6" s="10">
        <f t="shared" si="12"/>
        <v>1470</v>
      </c>
      <c r="Q6" s="10">
        <f t="shared" si="12"/>
        <v>1575</v>
      </c>
      <c r="R6" s="10">
        <f t="shared" si="12"/>
        <v>1035</v>
      </c>
      <c r="S6" s="12">
        <f t="shared" si="13"/>
        <v>7</v>
      </c>
      <c r="T6" s="12">
        <f t="shared" si="14"/>
        <v>41</v>
      </c>
      <c r="U6" s="12">
        <f t="shared" si="15"/>
        <v>0</v>
      </c>
      <c r="V6" s="12">
        <f t="shared" si="15"/>
        <v>87.5</v>
      </c>
      <c r="W6" s="12">
        <f t="shared" si="15"/>
        <v>0</v>
      </c>
      <c r="X6" s="14">
        <f t="shared" si="16"/>
        <v>581</v>
      </c>
      <c r="Y6" s="14">
        <f t="shared" si="7"/>
        <v>1763</v>
      </c>
      <c r="Z6" s="14">
        <f t="shared" si="7"/>
        <v>1470</v>
      </c>
      <c r="AA6" s="14">
        <f t="shared" si="7"/>
        <v>1662.5</v>
      </c>
      <c r="AB6" s="14">
        <f t="shared" si="7"/>
        <v>1035</v>
      </c>
      <c r="AD6" s="1">
        <f t="shared" si="17"/>
        <v>6511.5</v>
      </c>
    </row>
    <row r="7" spans="1:30" x14ac:dyDescent="0.2">
      <c r="A7" t="s">
        <v>11</v>
      </c>
      <c r="B7" t="s">
        <v>12</v>
      </c>
      <c r="C7" s="1">
        <v>15.75</v>
      </c>
      <c r="D7" s="6">
        <v>40</v>
      </c>
      <c r="E7" s="6">
        <v>43</v>
      </c>
      <c r="F7" s="6">
        <v>22</v>
      </c>
      <c r="G7" s="6">
        <v>39</v>
      </c>
      <c r="H7" s="6">
        <v>28</v>
      </c>
      <c r="I7" s="8">
        <f t="shared" si="8"/>
        <v>0</v>
      </c>
      <c r="J7" s="8">
        <f t="shared" si="9"/>
        <v>3</v>
      </c>
      <c r="K7" s="8">
        <f t="shared" si="8"/>
        <v>0</v>
      </c>
      <c r="L7" s="8">
        <f t="shared" si="8"/>
        <v>0</v>
      </c>
      <c r="M7" s="8">
        <f t="shared" si="8"/>
        <v>0</v>
      </c>
      <c r="N7" s="10">
        <f t="shared" si="10"/>
        <v>630</v>
      </c>
      <c r="O7" s="10">
        <f t="shared" si="11"/>
        <v>1720</v>
      </c>
      <c r="P7" s="10">
        <f t="shared" si="12"/>
        <v>946</v>
      </c>
      <c r="Q7" s="10">
        <f t="shared" si="12"/>
        <v>858</v>
      </c>
      <c r="R7" s="10">
        <f t="shared" si="12"/>
        <v>1092</v>
      </c>
      <c r="S7" s="12">
        <f t="shared" si="13"/>
        <v>0</v>
      </c>
      <c r="T7" s="12">
        <f t="shared" si="14"/>
        <v>60</v>
      </c>
      <c r="U7" s="12">
        <f t="shared" si="15"/>
        <v>0</v>
      </c>
      <c r="V7" s="12">
        <f t="shared" si="15"/>
        <v>0</v>
      </c>
      <c r="W7" s="12">
        <f t="shared" si="15"/>
        <v>0</v>
      </c>
      <c r="X7" s="14">
        <f t="shared" si="16"/>
        <v>630</v>
      </c>
      <c r="Y7" s="14">
        <f t="shared" si="7"/>
        <v>1780</v>
      </c>
      <c r="Z7" s="14">
        <f t="shared" si="7"/>
        <v>946</v>
      </c>
      <c r="AA7" s="14">
        <f t="shared" si="7"/>
        <v>858</v>
      </c>
      <c r="AB7" s="14">
        <f t="shared" si="7"/>
        <v>1092</v>
      </c>
      <c r="AD7" s="1">
        <f t="shared" si="17"/>
        <v>5306</v>
      </c>
    </row>
    <row r="8" spans="1:30" x14ac:dyDescent="0.2">
      <c r="A8" t="s">
        <v>13</v>
      </c>
      <c r="B8" t="s">
        <v>14</v>
      </c>
      <c r="C8" s="1">
        <v>13.28</v>
      </c>
      <c r="D8" s="6">
        <v>48</v>
      </c>
      <c r="E8" s="6">
        <v>36</v>
      </c>
      <c r="F8" s="6">
        <v>23</v>
      </c>
      <c r="G8" s="6">
        <v>45</v>
      </c>
      <c r="H8" s="6">
        <v>21</v>
      </c>
      <c r="I8" s="8">
        <f t="shared" si="8"/>
        <v>8</v>
      </c>
      <c r="J8" s="8">
        <f t="shared" si="9"/>
        <v>0</v>
      </c>
      <c r="K8" s="8">
        <f t="shared" si="8"/>
        <v>0</v>
      </c>
      <c r="L8" s="8">
        <f t="shared" si="8"/>
        <v>5</v>
      </c>
      <c r="M8" s="8">
        <f t="shared" si="8"/>
        <v>0</v>
      </c>
      <c r="N8" s="10">
        <f t="shared" si="10"/>
        <v>637.43999999999994</v>
      </c>
      <c r="O8" s="10">
        <f t="shared" si="11"/>
        <v>1728</v>
      </c>
      <c r="P8" s="10">
        <f t="shared" si="12"/>
        <v>828</v>
      </c>
      <c r="Q8" s="10">
        <f t="shared" si="12"/>
        <v>1035</v>
      </c>
      <c r="R8" s="10">
        <f t="shared" si="12"/>
        <v>945</v>
      </c>
      <c r="S8" s="12">
        <f t="shared" si="13"/>
        <v>53.12</v>
      </c>
      <c r="T8" s="12">
        <f t="shared" si="14"/>
        <v>0</v>
      </c>
      <c r="U8" s="12">
        <f t="shared" si="15"/>
        <v>0</v>
      </c>
      <c r="V8" s="12">
        <f t="shared" si="15"/>
        <v>57.5</v>
      </c>
      <c r="W8" s="12">
        <f t="shared" si="15"/>
        <v>0</v>
      </c>
      <c r="X8" s="14">
        <f t="shared" si="16"/>
        <v>690.56</v>
      </c>
      <c r="Y8" s="14">
        <f t="shared" si="7"/>
        <v>1728</v>
      </c>
      <c r="Z8" s="14">
        <f t="shared" si="7"/>
        <v>828</v>
      </c>
      <c r="AA8" s="14">
        <f t="shared" si="7"/>
        <v>1092.5</v>
      </c>
      <c r="AB8" s="14">
        <f t="shared" si="7"/>
        <v>945</v>
      </c>
      <c r="AD8" s="1">
        <f t="shared" si="17"/>
        <v>5284.0599999999995</v>
      </c>
    </row>
    <row r="9" spans="1:30" x14ac:dyDescent="0.2">
      <c r="A9" t="s">
        <v>15</v>
      </c>
      <c r="B9" t="s">
        <v>16</v>
      </c>
      <c r="C9" s="1">
        <v>11.21</v>
      </c>
      <c r="D9" s="6">
        <v>55</v>
      </c>
      <c r="E9" s="6">
        <v>38</v>
      </c>
      <c r="F9" s="6">
        <v>26</v>
      </c>
      <c r="G9" s="6">
        <v>44</v>
      </c>
      <c r="H9" s="6">
        <v>32</v>
      </c>
      <c r="I9" s="8">
        <f t="shared" si="8"/>
        <v>15</v>
      </c>
      <c r="J9" s="8">
        <f t="shared" si="9"/>
        <v>0</v>
      </c>
      <c r="K9" s="8">
        <f t="shared" si="8"/>
        <v>0</v>
      </c>
      <c r="L9" s="8">
        <f t="shared" si="8"/>
        <v>4</v>
      </c>
      <c r="M9" s="8">
        <f t="shared" si="8"/>
        <v>0</v>
      </c>
      <c r="N9" s="10">
        <f t="shared" si="10"/>
        <v>616.55000000000007</v>
      </c>
      <c r="O9" s="10">
        <f t="shared" si="11"/>
        <v>2090</v>
      </c>
      <c r="P9" s="10">
        <f t="shared" si="12"/>
        <v>988</v>
      </c>
      <c r="Q9" s="10">
        <f t="shared" si="12"/>
        <v>1144</v>
      </c>
      <c r="R9" s="10">
        <f t="shared" si="12"/>
        <v>1408</v>
      </c>
      <c r="S9" s="12">
        <f t="shared" si="13"/>
        <v>84.075000000000003</v>
      </c>
      <c r="T9" s="12">
        <f t="shared" si="14"/>
        <v>0</v>
      </c>
      <c r="U9" s="12">
        <f t="shared" si="15"/>
        <v>0</v>
      </c>
      <c r="V9" s="12">
        <f t="shared" si="15"/>
        <v>52</v>
      </c>
      <c r="W9" s="12">
        <f t="shared" si="15"/>
        <v>0</v>
      </c>
      <c r="X9" s="14">
        <f t="shared" si="16"/>
        <v>700.62500000000011</v>
      </c>
      <c r="Y9" s="14">
        <f t="shared" si="7"/>
        <v>2090</v>
      </c>
      <c r="Z9" s="14">
        <f t="shared" si="7"/>
        <v>988</v>
      </c>
      <c r="AA9" s="14">
        <f t="shared" si="7"/>
        <v>1196</v>
      </c>
      <c r="AB9" s="14">
        <f t="shared" si="7"/>
        <v>1408</v>
      </c>
      <c r="AD9" s="1">
        <f t="shared" si="17"/>
        <v>6382.625</v>
      </c>
    </row>
    <row r="10" spans="1:30" x14ac:dyDescent="0.2">
      <c r="A10" t="s">
        <v>17</v>
      </c>
      <c r="B10" t="s">
        <v>18</v>
      </c>
      <c r="C10" s="1">
        <v>8.9</v>
      </c>
      <c r="D10" s="6">
        <v>35</v>
      </c>
      <c r="E10" s="6">
        <v>43</v>
      </c>
      <c r="F10" s="6">
        <v>25</v>
      </c>
      <c r="G10" s="6">
        <v>34</v>
      </c>
      <c r="H10" s="6">
        <v>32</v>
      </c>
      <c r="I10" s="8">
        <f t="shared" si="8"/>
        <v>0</v>
      </c>
      <c r="J10" s="8">
        <f t="shared" si="9"/>
        <v>3</v>
      </c>
      <c r="K10" s="8">
        <f t="shared" si="8"/>
        <v>0</v>
      </c>
      <c r="L10" s="8">
        <f t="shared" si="8"/>
        <v>0</v>
      </c>
      <c r="M10" s="8">
        <f t="shared" si="8"/>
        <v>0</v>
      </c>
      <c r="N10" s="10">
        <f t="shared" si="10"/>
        <v>311.5</v>
      </c>
      <c r="O10" s="10">
        <f t="shared" si="11"/>
        <v>1505</v>
      </c>
      <c r="P10" s="10">
        <f t="shared" si="12"/>
        <v>1075</v>
      </c>
      <c r="Q10" s="10">
        <f t="shared" si="12"/>
        <v>850</v>
      </c>
      <c r="R10" s="10">
        <f t="shared" si="12"/>
        <v>1088</v>
      </c>
      <c r="S10" s="12">
        <f t="shared" si="13"/>
        <v>0</v>
      </c>
      <c r="T10" s="12">
        <f t="shared" si="14"/>
        <v>52.5</v>
      </c>
      <c r="U10" s="12">
        <f t="shared" si="15"/>
        <v>0</v>
      </c>
      <c r="V10" s="12">
        <f t="shared" si="15"/>
        <v>0</v>
      </c>
      <c r="W10" s="12">
        <f t="shared" si="15"/>
        <v>0</v>
      </c>
      <c r="X10" s="14">
        <f t="shared" si="16"/>
        <v>311.5</v>
      </c>
      <c r="Y10" s="14">
        <f t="shared" si="7"/>
        <v>1557.5</v>
      </c>
      <c r="Z10" s="14">
        <f t="shared" si="7"/>
        <v>1075</v>
      </c>
      <c r="AA10" s="14">
        <f t="shared" si="7"/>
        <v>850</v>
      </c>
      <c r="AB10" s="14">
        <f t="shared" si="7"/>
        <v>1088</v>
      </c>
      <c r="AD10" s="1">
        <f t="shared" si="17"/>
        <v>4882</v>
      </c>
    </row>
    <row r="11" spans="1:30" x14ac:dyDescent="0.2">
      <c r="A11" t="s">
        <v>19</v>
      </c>
      <c r="B11" t="s">
        <v>20</v>
      </c>
      <c r="C11" s="1">
        <v>10.210000000000001</v>
      </c>
      <c r="D11" s="6">
        <v>49</v>
      </c>
      <c r="E11" s="6">
        <v>44</v>
      </c>
      <c r="F11" s="6">
        <v>32</v>
      </c>
      <c r="G11" s="6">
        <v>26</v>
      </c>
      <c r="H11" s="6">
        <v>43</v>
      </c>
      <c r="I11" s="8">
        <f t="shared" si="8"/>
        <v>9</v>
      </c>
      <c r="J11" s="8">
        <f t="shared" si="9"/>
        <v>4</v>
      </c>
      <c r="K11" s="8">
        <f t="shared" si="8"/>
        <v>0</v>
      </c>
      <c r="L11" s="8">
        <f t="shared" si="8"/>
        <v>0</v>
      </c>
      <c r="M11" s="8">
        <f t="shared" si="8"/>
        <v>3</v>
      </c>
      <c r="N11" s="10">
        <f t="shared" si="10"/>
        <v>500.29</v>
      </c>
      <c r="O11" s="10">
        <f t="shared" si="11"/>
        <v>2156</v>
      </c>
      <c r="P11" s="10">
        <f t="shared" si="12"/>
        <v>1408</v>
      </c>
      <c r="Q11" s="10">
        <f t="shared" si="12"/>
        <v>832</v>
      </c>
      <c r="R11" s="10">
        <f t="shared" si="12"/>
        <v>1118</v>
      </c>
      <c r="S11" s="12">
        <f t="shared" si="13"/>
        <v>45.945000000000007</v>
      </c>
      <c r="T11" s="12">
        <f t="shared" si="14"/>
        <v>98</v>
      </c>
      <c r="U11" s="12">
        <f t="shared" si="15"/>
        <v>0</v>
      </c>
      <c r="V11" s="12">
        <f t="shared" si="15"/>
        <v>0</v>
      </c>
      <c r="W11" s="12">
        <f t="shared" si="15"/>
        <v>39</v>
      </c>
      <c r="X11" s="14">
        <f t="shared" si="16"/>
        <v>546.23500000000001</v>
      </c>
      <c r="Y11" s="14">
        <f t="shared" si="7"/>
        <v>2254</v>
      </c>
      <c r="Z11" s="14">
        <f t="shared" si="7"/>
        <v>1408</v>
      </c>
      <c r="AA11" s="14">
        <f t="shared" si="7"/>
        <v>832</v>
      </c>
      <c r="AB11" s="14">
        <f t="shared" si="7"/>
        <v>1157</v>
      </c>
      <c r="AD11" s="1">
        <f t="shared" si="17"/>
        <v>6197.2350000000006</v>
      </c>
    </row>
    <row r="12" spans="1:30" x14ac:dyDescent="0.2">
      <c r="A12" t="s">
        <v>21</v>
      </c>
      <c r="B12" t="s">
        <v>22</v>
      </c>
      <c r="C12" s="1">
        <v>12.89</v>
      </c>
      <c r="D12" s="6">
        <v>58</v>
      </c>
      <c r="E12" s="6">
        <v>33</v>
      </c>
      <c r="F12" s="6">
        <v>43</v>
      </c>
      <c r="G12" s="6">
        <v>45</v>
      </c>
      <c r="H12" s="6">
        <v>31</v>
      </c>
      <c r="I12" s="8">
        <f t="shared" si="8"/>
        <v>18</v>
      </c>
      <c r="J12" s="8">
        <f t="shared" si="9"/>
        <v>0</v>
      </c>
      <c r="K12" s="8">
        <f t="shared" si="8"/>
        <v>3</v>
      </c>
      <c r="L12" s="8">
        <f t="shared" si="8"/>
        <v>5</v>
      </c>
      <c r="M12" s="8">
        <f t="shared" si="8"/>
        <v>0</v>
      </c>
      <c r="N12" s="10">
        <f t="shared" si="10"/>
        <v>747.62</v>
      </c>
      <c r="O12" s="10">
        <f t="shared" si="11"/>
        <v>1914</v>
      </c>
      <c r="P12" s="10">
        <f t="shared" si="12"/>
        <v>1419</v>
      </c>
      <c r="Q12" s="10">
        <f t="shared" si="12"/>
        <v>1935</v>
      </c>
      <c r="R12" s="10">
        <f t="shared" si="12"/>
        <v>1395</v>
      </c>
      <c r="S12" s="12">
        <f t="shared" si="13"/>
        <v>116.01</v>
      </c>
      <c r="T12" s="12">
        <f t="shared" si="14"/>
        <v>0</v>
      </c>
      <c r="U12" s="12">
        <f t="shared" si="15"/>
        <v>49.5</v>
      </c>
      <c r="V12" s="12">
        <f t="shared" si="15"/>
        <v>107.5</v>
      </c>
      <c r="W12" s="12">
        <f t="shared" si="15"/>
        <v>0</v>
      </c>
      <c r="X12" s="14">
        <f t="shared" si="16"/>
        <v>863.63</v>
      </c>
      <c r="Y12" s="14">
        <f t="shared" si="7"/>
        <v>1914</v>
      </c>
      <c r="Z12" s="14">
        <f t="shared" si="7"/>
        <v>1468.5</v>
      </c>
      <c r="AA12" s="14">
        <f t="shared" si="7"/>
        <v>2042.5</v>
      </c>
      <c r="AB12" s="14">
        <f t="shared" si="7"/>
        <v>1395</v>
      </c>
      <c r="AD12" s="1">
        <f t="shared" si="17"/>
        <v>7683.63</v>
      </c>
    </row>
    <row r="13" spans="1:30" x14ac:dyDescent="0.2">
      <c r="A13" t="s">
        <v>23</v>
      </c>
      <c r="B13" t="s">
        <v>24</v>
      </c>
      <c r="C13" s="1">
        <v>16.21</v>
      </c>
      <c r="D13" s="6">
        <v>32</v>
      </c>
      <c r="E13" s="6">
        <v>21</v>
      </c>
      <c r="F13" s="6">
        <v>31</v>
      </c>
      <c r="G13" s="6">
        <v>41</v>
      </c>
      <c r="H13" s="6">
        <v>36</v>
      </c>
      <c r="I13" s="8">
        <f t="shared" si="8"/>
        <v>0</v>
      </c>
      <c r="J13" s="8">
        <f t="shared" si="9"/>
        <v>0</v>
      </c>
      <c r="K13" s="8">
        <f t="shared" si="8"/>
        <v>0</v>
      </c>
      <c r="L13" s="8">
        <f t="shared" si="8"/>
        <v>1</v>
      </c>
      <c r="M13" s="8">
        <f t="shared" si="8"/>
        <v>0</v>
      </c>
      <c r="N13" s="10">
        <f t="shared" si="10"/>
        <v>518.72</v>
      </c>
      <c r="O13" s="10">
        <f t="shared" si="11"/>
        <v>672</v>
      </c>
      <c r="P13" s="10">
        <f t="shared" si="12"/>
        <v>651</v>
      </c>
      <c r="Q13" s="10">
        <f t="shared" si="12"/>
        <v>1271</v>
      </c>
      <c r="R13" s="10">
        <f t="shared" si="12"/>
        <v>1476</v>
      </c>
      <c r="S13" s="12">
        <f t="shared" si="13"/>
        <v>0</v>
      </c>
      <c r="T13" s="12">
        <f t="shared" si="14"/>
        <v>0</v>
      </c>
      <c r="U13" s="12">
        <f t="shared" si="15"/>
        <v>0</v>
      </c>
      <c r="V13" s="12">
        <f t="shared" si="15"/>
        <v>15.5</v>
      </c>
      <c r="W13" s="12">
        <f t="shared" si="15"/>
        <v>0</v>
      </c>
      <c r="X13" s="14">
        <f t="shared" si="16"/>
        <v>518.72</v>
      </c>
      <c r="Y13" s="14">
        <f t="shared" si="7"/>
        <v>672</v>
      </c>
      <c r="Z13" s="14">
        <f t="shared" si="7"/>
        <v>651</v>
      </c>
      <c r="AA13" s="14">
        <f t="shared" si="7"/>
        <v>1286.5</v>
      </c>
      <c r="AB13" s="14">
        <f t="shared" si="7"/>
        <v>1476</v>
      </c>
      <c r="AD13" s="1">
        <f t="shared" si="17"/>
        <v>4604.22</v>
      </c>
    </row>
    <row r="14" spans="1:30" x14ac:dyDescent="0.2">
      <c r="A14" t="s">
        <v>25</v>
      </c>
      <c r="B14" t="s">
        <v>26</v>
      </c>
      <c r="C14" s="1">
        <v>18.559999999999999</v>
      </c>
      <c r="D14" s="6">
        <v>46</v>
      </c>
      <c r="E14" s="6">
        <v>41</v>
      </c>
      <c r="F14" s="6">
        <v>32</v>
      </c>
      <c r="G14" s="6">
        <v>23</v>
      </c>
      <c r="H14" s="6">
        <v>46</v>
      </c>
      <c r="I14" s="8">
        <f t="shared" si="8"/>
        <v>6</v>
      </c>
      <c r="J14" s="8">
        <f t="shared" si="9"/>
        <v>1</v>
      </c>
      <c r="K14" s="8">
        <f t="shared" si="8"/>
        <v>0</v>
      </c>
      <c r="L14" s="8">
        <f t="shared" si="8"/>
        <v>0</v>
      </c>
      <c r="M14" s="8">
        <f t="shared" si="8"/>
        <v>6</v>
      </c>
      <c r="N14" s="10">
        <f t="shared" si="10"/>
        <v>853.76</v>
      </c>
      <c r="O14" s="10">
        <f t="shared" si="11"/>
        <v>1886</v>
      </c>
      <c r="P14" s="10">
        <f t="shared" si="12"/>
        <v>1312</v>
      </c>
      <c r="Q14" s="10">
        <f t="shared" si="12"/>
        <v>736</v>
      </c>
      <c r="R14" s="10">
        <f t="shared" si="12"/>
        <v>1058</v>
      </c>
      <c r="S14" s="12">
        <f t="shared" si="13"/>
        <v>55.679999999999993</v>
      </c>
      <c r="T14" s="12">
        <f t="shared" si="14"/>
        <v>23</v>
      </c>
      <c r="U14" s="12">
        <f t="shared" si="15"/>
        <v>0</v>
      </c>
      <c r="V14" s="12">
        <f t="shared" si="15"/>
        <v>0</v>
      </c>
      <c r="W14" s="12">
        <f t="shared" si="15"/>
        <v>69</v>
      </c>
      <c r="X14" s="14">
        <f t="shared" si="16"/>
        <v>909.43999999999994</v>
      </c>
      <c r="Y14" s="14">
        <f t="shared" si="7"/>
        <v>1909</v>
      </c>
      <c r="Z14" s="14">
        <f t="shared" si="7"/>
        <v>1312</v>
      </c>
      <c r="AA14" s="14">
        <f t="shared" si="7"/>
        <v>736</v>
      </c>
      <c r="AB14" s="14">
        <f t="shared" si="7"/>
        <v>1127</v>
      </c>
      <c r="AD14" s="1">
        <f t="shared" si="17"/>
        <v>5993.4400000000005</v>
      </c>
    </row>
    <row r="15" spans="1:30" x14ac:dyDescent="0.2">
      <c r="A15" t="s">
        <v>27</v>
      </c>
      <c r="B15" t="s">
        <v>28</v>
      </c>
      <c r="C15" s="1">
        <v>17.39</v>
      </c>
      <c r="D15" s="6">
        <v>38</v>
      </c>
      <c r="E15" s="6">
        <v>45</v>
      </c>
      <c r="F15" s="6">
        <v>34</v>
      </c>
      <c r="G15" s="6">
        <v>23</v>
      </c>
      <c r="H15" s="6">
        <v>52</v>
      </c>
      <c r="I15" s="8">
        <f t="shared" si="8"/>
        <v>0</v>
      </c>
      <c r="J15" s="8">
        <f t="shared" si="9"/>
        <v>5</v>
      </c>
      <c r="K15" s="8">
        <f t="shared" si="8"/>
        <v>0</v>
      </c>
      <c r="L15" s="8">
        <f t="shared" si="8"/>
        <v>0</v>
      </c>
      <c r="M15" s="8">
        <f t="shared" si="8"/>
        <v>12</v>
      </c>
      <c r="N15" s="10">
        <f t="shared" si="10"/>
        <v>660.82</v>
      </c>
      <c r="O15" s="10">
        <f t="shared" si="11"/>
        <v>1710</v>
      </c>
      <c r="P15" s="10">
        <f t="shared" si="12"/>
        <v>1530</v>
      </c>
      <c r="Q15" s="10">
        <f t="shared" si="12"/>
        <v>782</v>
      </c>
      <c r="R15" s="10">
        <f t="shared" si="12"/>
        <v>1196</v>
      </c>
      <c r="S15" s="12">
        <f t="shared" si="13"/>
        <v>0</v>
      </c>
      <c r="T15" s="12">
        <f t="shared" si="14"/>
        <v>95</v>
      </c>
      <c r="U15" s="12">
        <f t="shared" si="15"/>
        <v>0</v>
      </c>
      <c r="V15" s="12">
        <f t="shared" si="15"/>
        <v>0</v>
      </c>
      <c r="W15" s="12">
        <f t="shared" si="15"/>
        <v>138</v>
      </c>
      <c r="X15" s="14">
        <f t="shared" si="16"/>
        <v>660.82</v>
      </c>
      <c r="Y15" s="14">
        <f t="shared" si="7"/>
        <v>1805</v>
      </c>
      <c r="Z15" s="14">
        <f t="shared" si="7"/>
        <v>1530</v>
      </c>
      <c r="AA15" s="14">
        <f t="shared" si="7"/>
        <v>782</v>
      </c>
      <c r="AB15" s="14">
        <f t="shared" si="7"/>
        <v>1334</v>
      </c>
      <c r="AD15" s="1">
        <f t="shared" si="17"/>
        <v>6111.82</v>
      </c>
    </row>
    <row r="16" spans="1:30" x14ac:dyDescent="0.2">
      <c r="A16" t="s">
        <v>29</v>
      </c>
      <c r="B16" t="s">
        <v>30</v>
      </c>
      <c r="C16" s="1">
        <v>15.22</v>
      </c>
      <c r="D16" s="6">
        <v>34</v>
      </c>
      <c r="E16" s="6">
        <v>24</v>
      </c>
      <c r="F16" s="6">
        <v>32</v>
      </c>
      <c r="G16" s="6">
        <v>44</v>
      </c>
      <c r="H16" s="6">
        <v>53</v>
      </c>
      <c r="I16" s="8">
        <f t="shared" si="8"/>
        <v>0</v>
      </c>
      <c r="J16" s="8">
        <f t="shared" si="9"/>
        <v>0</v>
      </c>
      <c r="K16" s="8">
        <f t="shared" si="8"/>
        <v>0</v>
      </c>
      <c r="L16" s="8">
        <f t="shared" si="8"/>
        <v>4</v>
      </c>
      <c r="M16" s="8">
        <f t="shared" si="8"/>
        <v>13</v>
      </c>
      <c r="N16" s="10">
        <f t="shared" si="10"/>
        <v>517.48</v>
      </c>
      <c r="O16" s="10">
        <f t="shared" si="11"/>
        <v>816</v>
      </c>
      <c r="P16" s="10">
        <f t="shared" si="12"/>
        <v>768</v>
      </c>
      <c r="Q16" s="10">
        <f t="shared" si="12"/>
        <v>1408</v>
      </c>
      <c r="R16" s="10">
        <f t="shared" si="12"/>
        <v>2332</v>
      </c>
      <c r="S16" s="12">
        <f t="shared" si="13"/>
        <v>0</v>
      </c>
      <c r="T16" s="12">
        <f t="shared" si="14"/>
        <v>0</v>
      </c>
      <c r="U16" s="12">
        <f t="shared" si="15"/>
        <v>0</v>
      </c>
      <c r="V16" s="12">
        <f t="shared" si="15"/>
        <v>64</v>
      </c>
      <c r="W16" s="12">
        <f t="shared" si="15"/>
        <v>286</v>
      </c>
      <c r="X16" s="14">
        <f t="shared" si="16"/>
        <v>517.48</v>
      </c>
      <c r="Y16" s="14">
        <f t="shared" si="7"/>
        <v>816</v>
      </c>
      <c r="Z16" s="14">
        <f t="shared" si="7"/>
        <v>768</v>
      </c>
      <c r="AA16" s="14">
        <f t="shared" si="7"/>
        <v>1472</v>
      </c>
      <c r="AB16" s="14">
        <f t="shared" si="7"/>
        <v>2618</v>
      </c>
      <c r="AD16" s="1">
        <f t="shared" si="17"/>
        <v>6191.48</v>
      </c>
    </row>
    <row r="17" spans="1:30" x14ac:dyDescent="0.2">
      <c r="A17" t="s">
        <v>31</v>
      </c>
      <c r="B17" t="s">
        <v>32</v>
      </c>
      <c r="C17" s="1">
        <v>19.12</v>
      </c>
      <c r="D17" s="6">
        <v>20</v>
      </c>
      <c r="E17" s="6">
        <v>23</v>
      </c>
      <c r="F17" s="6">
        <v>44</v>
      </c>
      <c r="G17" s="6">
        <v>52</v>
      </c>
      <c r="H17" s="6">
        <v>26</v>
      </c>
      <c r="I17" s="8">
        <f t="shared" si="8"/>
        <v>0</v>
      </c>
      <c r="J17" s="8">
        <f t="shared" si="9"/>
        <v>0</v>
      </c>
      <c r="K17" s="8">
        <f t="shared" si="8"/>
        <v>4</v>
      </c>
      <c r="L17" s="8">
        <f t="shared" si="8"/>
        <v>12</v>
      </c>
      <c r="M17" s="8">
        <f t="shared" si="8"/>
        <v>0</v>
      </c>
      <c r="N17" s="10">
        <f t="shared" si="10"/>
        <v>382.40000000000003</v>
      </c>
      <c r="O17" s="10">
        <f t="shared" si="11"/>
        <v>460</v>
      </c>
      <c r="P17" s="10">
        <f t="shared" si="12"/>
        <v>1012</v>
      </c>
      <c r="Q17" s="10">
        <f t="shared" si="12"/>
        <v>2288</v>
      </c>
      <c r="R17" s="10">
        <f t="shared" si="12"/>
        <v>1352</v>
      </c>
      <c r="S17" s="12">
        <f t="shared" si="13"/>
        <v>0</v>
      </c>
      <c r="T17" s="12">
        <f t="shared" si="14"/>
        <v>0</v>
      </c>
      <c r="U17" s="12">
        <f t="shared" si="15"/>
        <v>46</v>
      </c>
      <c r="V17" s="12">
        <f t="shared" si="15"/>
        <v>264</v>
      </c>
      <c r="W17" s="12">
        <f t="shared" si="15"/>
        <v>0</v>
      </c>
      <c r="X17" s="14">
        <f t="shared" si="16"/>
        <v>382.40000000000003</v>
      </c>
      <c r="Y17" s="14">
        <f t="shared" si="7"/>
        <v>460</v>
      </c>
      <c r="Z17" s="14">
        <f t="shared" si="7"/>
        <v>1058</v>
      </c>
      <c r="AA17" s="14">
        <f t="shared" si="7"/>
        <v>2552</v>
      </c>
      <c r="AB17" s="14">
        <f t="shared" si="7"/>
        <v>1352</v>
      </c>
      <c r="AD17" s="1">
        <f t="shared" si="17"/>
        <v>5804.4</v>
      </c>
    </row>
    <row r="18" spans="1:30" x14ac:dyDescent="0.2">
      <c r="A18" t="s">
        <v>33</v>
      </c>
      <c r="B18" t="s">
        <v>34</v>
      </c>
      <c r="C18" s="1">
        <v>19.89</v>
      </c>
      <c r="D18" s="6">
        <v>22</v>
      </c>
      <c r="E18" s="6">
        <v>43</v>
      </c>
      <c r="F18" s="6">
        <v>28</v>
      </c>
      <c r="G18" s="6">
        <v>39</v>
      </c>
      <c r="H18" s="6">
        <v>26</v>
      </c>
      <c r="I18" s="8">
        <f t="shared" si="8"/>
        <v>0</v>
      </c>
      <c r="J18" s="8">
        <f t="shared" si="9"/>
        <v>3</v>
      </c>
      <c r="K18" s="8">
        <f t="shared" si="8"/>
        <v>0</v>
      </c>
      <c r="L18" s="8">
        <f t="shared" si="8"/>
        <v>0</v>
      </c>
      <c r="M18" s="8">
        <f t="shared" si="8"/>
        <v>0</v>
      </c>
      <c r="N18" s="10">
        <f t="shared" si="10"/>
        <v>437.58000000000004</v>
      </c>
      <c r="O18" s="10">
        <f t="shared" si="11"/>
        <v>946</v>
      </c>
      <c r="P18" s="10">
        <f t="shared" si="12"/>
        <v>1204</v>
      </c>
      <c r="Q18" s="10">
        <f t="shared" si="12"/>
        <v>1092</v>
      </c>
      <c r="R18" s="10">
        <f t="shared" si="12"/>
        <v>1014</v>
      </c>
      <c r="S18" s="12">
        <f t="shared" si="13"/>
        <v>0</v>
      </c>
      <c r="T18" s="12">
        <f t="shared" si="14"/>
        <v>33</v>
      </c>
      <c r="U18" s="12">
        <f t="shared" si="15"/>
        <v>0</v>
      </c>
      <c r="V18" s="12">
        <f t="shared" si="15"/>
        <v>0</v>
      </c>
      <c r="W18" s="12">
        <f t="shared" si="15"/>
        <v>0</v>
      </c>
      <c r="X18" s="14">
        <f t="shared" si="16"/>
        <v>437.58000000000004</v>
      </c>
      <c r="Y18" s="14">
        <f t="shared" si="7"/>
        <v>979</v>
      </c>
      <c r="Z18" s="14">
        <f t="shared" si="7"/>
        <v>1204</v>
      </c>
      <c r="AA18" s="14">
        <f t="shared" si="7"/>
        <v>1092</v>
      </c>
      <c r="AB18" s="14">
        <f t="shared" si="7"/>
        <v>1014</v>
      </c>
      <c r="AD18" s="1">
        <f t="shared" si="17"/>
        <v>4726.58</v>
      </c>
    </row>
    <row r="19" spans="1:30" x14ac:dyDescent="0.2">
      <c r="A19" t="s">
        <v>35</v>
      </c>
      <c r="B19" t="s">
        <v>36</v>
      </c>
      <c r="C19" s="1">
        <v>15.67</v>
      </c>
      <c r="D19" s="6">
        <v>30</v>
      </c>
      <c r="E19" s="6">
        <v>44</v>
      </c>
      <c r="F19" s="6">
        <v>31</v>
      </c>
      <c r="G19" s="6">
        <v>28</v>
      </c>
      <c r="H19" s="6">
        <v>49</v>
      </c>
      <c r="I19" s="8">
        <f t="shared" si="8"/>
        <v>0</v>
      </c>
      <c r="J19" s="8">
        <f t="shared" si="9"/>
        <v>4</v>
      </c>
      <c r="K19" s="8">
        <f t="shared" si="8"/>
        <v>0</v>
      </c>
      <c r="L19" s="8">
        <f t="shared" si="8"/>
        <v>0</v>
      </c>
      <c r="M19" s="8">
        <f t="shared" si="8"/>
        <v>9</v>
      </c>
      <c r="N19" s="10">
        <f t="shared" si="10"/>
        <v>470.1</v>
      </c>
      <c r="O19" s="10">
        <f t="shared" si="11"/>
        <v>1320</v>
      </c>
      <c r="P19" s="10">
        <f t="shared" si="12"/>
        <v>1364</v>
      </c>
      <c r="Q19" s="10">
        <f t="shared" si="12"/>
        <v>868</v>
      </c>
      <c r="R19" s="10">
        <f t="shared" si="12"/>
        <v>1372</v>
      </c>
      <c r="S19" s="12">
        <f t="shared" si="13"/>
        <v>0</v>
      </c>
      <c r="T19" s="12">
        <f t="shared" si="14"/>
        <v>60</v>
      </c>
      <c r="U19" s="12">
        <f t="shared" si="15"/>
        <v>0</v>
      </c>
      <c r="V19" s="12">
        <f t="shared" si="15"/>
        <v>0</v>
      </c>
      <c r="W19" s="12">
        <f t="shared" si="15"/>
        <v>126</v>
      </c>
      <c r="X19" s="14">
        <f t="shared" si="16"/>
        <v>470.1</v>
      </c>
      <c r="Y19" s="14">
        <f t="shared" si="7"/>
        <v>1380</v>
      </c>
      <c r="Z19" s="14">
        <f t="shared" si="7"/>
        <v>1364</v>
      </c>
      <c r="AA19" s="14">
        <f t="shared" si="7"/>
        <v>868</v>
      </c>
      <c r="AB19" s="14">
        <f t="shared" si="7"/>
        <v>1498</v>
      </c>
      <c r="AD19" s="1">
        <f t="shared" si="17"/>
        <v>5580.1</v>
      </c>
    </row>
    <row r="20" spans="1:30" x14ac:dyDescent="0.2">
      <c r="A20" t="s">
        <v>37</v>
      </c>
      <c r="B20" t="s">
        <v>38</v>
      </c>
      <c r="C20" s="1">
        <v>6.2</v>
      </c>
      <c r="D20" s="6">
        <v>21</v>
      </c>
      <c r="E20" s="6">
        <v>33</v>
      </c>
      <c r="F20" s="6">
        <v>22</v>
      </c>
      <c r="G20" s="6">
        <v>44</v>
      </c>
      <c r="H20" s="6">
        <v>55</v>
      </c>
      <c r="I20" s="8">
        <f t="shared" si="8"/>
        <v>0</v>
      </c>
      <c r="J20" s="8">
        <f t="shared" si="9"/>
        <v>0</v>
      </c>
      <c r="K20" s="8">
        <f t="shared" si="8"/>
        <v>0</v>
      </c>
      <c r="L20" s="8">
        <f t="shared" si="8"/>
        <v>4</v>
      </c>
      <c r="M20" s="8">
        <f t="shared" si="8"/>
        <v>15</v>
      </c>
      <c r="N20" s="10">
        <f t="shared" si="10"/>
        <v>130.20000000000002</v>
      </c>
      <c r="O20" s="10">
        <f t="shared" si="11"/>
        <v>693</v>
      </c>
      <c r="P20" s="10">
        <f t="shared" si="12"/>
        <v>726</v>
      </c>
      <c r="Q20" s="10">
        <f t="shared" si="12"/>
        <v>968</v>
      </c>
      <c r="R20" s="10">
        <f t="shared" si="12"/>
        <v>2420</v>
      </c>
      <c r="S20" s="12">
        <f t="shared" si="13"/>
        <v>0</v>
      </c>
      <c r="T20" s="12">
        <f t="shared" si="14"/>
        <v>0</v>
      </c>
      <c r="U20" s="12">
        <f t="shared" si="15"/>
        <v>0</v>
      </c>
      <c r="V20" s="12">
        <f t="shared" si="15"/>
        <v>44</v>
      </c>
      <c r="W20" s="12">
        <f t="shared" si="15"/>
        <v>330</v>
      </c>
      <c r="X20" s="14">
        <f t="shared" si="16"/>
        <v>130.20000000000002</v>
      </c>
      <c r="Y20" s="14">
        <f t="shared" ref="Y20:AB20" si="18">O20+T20</f>
        <v>693</v>
      </c>
      <c r="Z20" s="14">
        <f t="shared" si="18"/>
        <v>726</v>
      </c>
      <c r="AA20" s="14">
        <f t="shared" si="18"/>
        <v>1012</v>
      </c>
      <c r="AB20" s="14">
        <f t="shared" si="18"/>
        <v>2750</v>
      </c>
      <c r="AD20" s="1">
        <f t="shared" si="17"/>
        <v>5311.2</v>
      </c>
    </row>
    <row r="21" spans="1:30" x14ac:dyDescent="0.2">
      <c r="AD21" s="1"/>
    </row>
    <row r="22" spans="1:30" x14ac:dyDescent="0.2">
      <c r="A22" t="s">
        <v>39</v>
      </c>
      <c r="C22" s="1">
        <f>MAX(C4:C20)</f>
        <v>19.89</v>
      </c>
      <c r="D22" s="2">
        <f>MAX(D4:D20)</f>
        <v>58</v>
      </c>
      <c r="E22" s="2"/>
      <c r="F22" s="2"/>
      <c r="G22" s="2"/>
      <c r="H22" s="2"/>
      <c r="I22" s="2"/>
      <c r="J22" s="2"/>
      <c r="K22" s="2"/>
      <c r="L22" s="2"/>
      <c r="M22" s="2"/>
      <c r="N22" s="3">
        <f>MAX(N4:N20)</f>
        <v>853.76</v>
      </c>
      <c r="O22" s="3">
        <f t="shared" ref="O22:Z22" si="19">MAX(O4:O20)</f>
        <v>2156</v>
      </c>
      <c r="P22" s="3">
        <f t="shared" si="19"/>
        <v>1677</v>
      </c>
      <c r="Q22" s="3">
        <f t="shared" si="19"/>
        <v>2288</v>
      </c>
      <c r="R22" s="3">
        <f t="shared" si="19"/>
        <v>2420</v>
      </c>
      <c r="S22" s="3">
        <f t="shared" si="19"/>
        <v>116.01</v>
      </c>
      <c r="T22" s="3">
        <f t="shared" si="19"/>
        <v>98</v>
      </c>
      <c r="U22" s="3">
        <f t="shared" si="19"/>
        <v>49.5</v>
      </c>
      <c r="V22" s="3">
        <f t="shared" si="19"/>
        <v>264</v>
      </c>
      <c r="W22" s="3">
        <f t="shared" si="19"/>
        <v>330</v>
      </c>
      <c r="X22" s="3">
        <f t="shared" si="19"/>
        <v>909.43999999999994</v>
      </c>
      <c r="Y22" s="3">
        <f t="shared" si="19"/>
        <v>2254</v>
      </c>
      <c r="Z22" s="3">
        <f t="shared" si="19"/>
        <v>1677</v>
      </c>
      <c r="AA22" s="3">
        <f>MAX(AA4:AA20)</f>
        <v>2552</v>
      </c>
      <c r="AB22" s="3">
        <f t="shared" ref="AB22" si="20">MAX(AB4:AB20)</f>
        <v>2750</v>
      </c>
      <c r="AD22" s="3">
        <f>MAX(AD4:AD20)</f>
        <v>7683.63</v>
      </c>
    </row>
    <row r="23" spans="1:30" x14ac:dyDescent="0.2">
      <c r="A23" t="s">
        <v>40</v>
      </c>
      <c r="C23" s="1">
        <f>MIN(C4:C20)</f>
        <v>6.2</v>
      </c>
      <c r="D23" s="2">
        <f>MIN(D4:D20)</f>
        <v>20</v>
      </c>
      <c r="E23" s="2"/>
      <c r="F23" s="2"/>
      <c r="G23" s="2"/>
      <c r="H23" s="2"/>
      <c r="I23" s="2"/>
      <c r="J23" s="2"/>
      <c r="K23" s="2"/>
      <c r="L23" s="2"/>
      <c r="M23" s="2"/>
      <c r="N23" s="3">
        <f>MIN(N4:N20)</f>
        <v>130.20000000000002</v>
      </c>
      <c r="O23" s="3">
        <f t="shared" ref="O23:Z23" si="21">MIN(O4:O20)</f>
        <v>460</v>
      </c>
      <c r="P23" s="3">
        <f t="shared" si="21"/>
        <v>467.78000000000003</v>
      </c>
      <c r="Q23" s="3">
        <f t="shared" si="21"/>
        <v>517.02</v>
      </c>
      <c r="R23" s="3">
        <f t="shared" si="21"/>
        <v>492.40000000000003</v>
      </c>
      <c r="S23" s="3">
        <f t="shared" si="21"/>
        <v>0</v>
      </c>
      <c r="T23" s="3">
        <f t="shared" si="21"/>
        <v>0</v>
      </c>
      <c r="U23" s="3">
        <f t="shared" si="21"/>
        <v>0</v>
      </c>
      <c r="V23" s="3">
        <f t="shared" si="21"/>
        <v>0</v>
      </c>
      <c r="W23" s="3">
        <f t="shared" si="21"/>
        <v>0</v>
      </c>
      <c r="X23" s="3">
        <f t="shared" si="21"/>
        <v>130.20000000000002</v>
      </c>
      <c r="Y23" s="3">
        <f t="shared" si="21"/>
        <v>460</v>
      </c>
      <c r="Z23" s="3">
        <f t="shared" si="21"/>
        <v>467.78000000000003</v>
      </c>
      <c r="AA23" s="3">
        <f>MIN(AA4:AA20)</f>
        <v>529.32999999999993</v>
      </c>
      <c r="AB23" s="3">
        <f t="shared" ref="AB23" si="22">MIN(AB4:AB20)</f>
        <v>492.40000000000003</v>
      </c>
      <c r="AD23" s="3">
        <f>MIN(AD4:AD20)</f>
        <v>2677.4249999999997</v>
      </c>
    </row>
    <row r="24" spans="1:30" x14ac:dyDescent="0.2">
      <c r="A24" t="s">
        <v>41</v>
      </c>
      <c r="C24" s="1">
        <f>AVERAGE(C4:C20)</f>
        <v>14.252941176470587</v>
      </c>
      <c r="D24" s="2">
        <f>AVERAGE(D4:D20)</f>
        <v>38.588235294117645</v>
      </c>
      <c r="E24" s="2"/>
      <c r="F24" s="2"/>
      <c r="G24" s="2"/>
      <c r="H24" s="2" t="s">
        <v>47</v>
      </c>
      <c r="I24" s="2"/>
      <c r="J24" s="2"/>
      <c r="K24" s="2"/>
      <c r="L24" s="2"/>
      <c r="M24" s="2"/>
      <c r="N24" s="3">
        <f>AVERAGE(N4:N20)</f>
        <v>540.76411764705892</v>
      </c>
      <c r="O24" s="3">
        <f t="shared" ref="O24:Z24" si="23">AVERAGE(O4:O20)</f>
        <v>1394.7211764705883</v>
      </c>
      <c r="P24" s="3">
        <f t="shared" si="23"/>
        <v>1108.575294117647</v>
      </c>
      <c r="Q24" s="3">
        <f t="shared" si="23"/>
        <v>1169.1188235294119</v>
      </c>
      <c r="R24" s="3">
        <f t="shared" si="23"/>
        <v>1308.5529411764708</v>
      </c>
      <c r="S24" s="3">
        <f t="shared" si="23"/>
        <v>24.005588235294116</v>
      </c>
      <c r="T24" s="3">
        <f t="shared" si="23"/>
        <v>33.084117647058825</v>
      </c>
      <c r="U24" s="3">
        <f t="shared" si="23"/>
        <v>5.617647058823529</v>
      </c>
      <c r="V24" s="3">
        <f t="shared" si="23"/>
        <v>46.018235294117645</v>
      </c>
      <c r="W24" s="3">
        <f t="shared" si="23"/>
        <v>58.117647058823529</v>
      </c>
      <c r="X24" s="3">
        <f t="shared" si="23"/>
        <v>564.76970588235292</v>
      </c>
      <c r="Y24" s="3">
        <f t="shared" si="23"/>
        <v>1427.8052941176472</v>
      </c>
      <c r="Z24" s="3">
        <f t="shared" si="23"/>
        <v>1114.1929411764704</v>
      </c>
      <c r="AA24" s="3">
        <f>AVERAGE(AA4:AA20)</f>
        <v>1215.1370588235295</v>
      </c>
      <c r="AB24" s="3">
        <f t="shared" ref="AB24" si="24">AVERAGE(AB4:AB20)</f>
        <v>1366.6705882352942</v>
      </c>
      <c r="AD24" s="3">
        <f>AVERAGE(AD4:AD20)</f>
        <v>5688.5755882352933</v>
      </c>
    </row>
    <row r="25" spans="1:30" x14ac:dyDescent="0.2">
      <c r="A25" t="s">
        <v>42</v>
      </c>
      <c r="D25">
        <f>SUM(D4:D20)</f>
        <v>656</v>
      </c>
      <c r="N25" s="3">
        <f>SUM(N4:N20)</f>
        <v>9192.9900000000016</v>
      </c>
      <c r="O25" s="3">
        <f t="shared" ref="O25:Z25" si="25">SUM(O4:O20)</f>
        <v>23710.260000000002</v>
      </c>
      <c r="P25" s="3">
        <f t="shared" si="25"/>
        <v>18845.78</v>
      </c>
      <c r="Q25" s="3">
        <f t="shared" si="25"/>
        <v>19875.02</v>
      </c>
      <c r="R25" s="3">
        <f t="shared" si="25"/>
        <v>22245.4</v>
      </c>
      <c r="S25" s="3">
        <f t="shared" si="25"/>
        <v>408.09499999999997</v>
      </c>
      <c r="T25" s="3">
        <f t="shared" si="25"/>
        <v>562.43000000000006</v>
      </c>
      <c r="U25" s="3">
        <f t="shared" si="25"/>
        <v>95.5</v>
      </c>
      <c r="V25" s="3">
        <f t="shared" si="25"/>
        <v>782.31</v>
      </c>
      <c r="W25" s="3">
        <f t="shared" si="25"/>
        <v>988</v>
      </c>
      <c r="X25" s="3">
        <f t="shared" si="25"/>
        <v>9601.0849999999991</v>
      </c>
      <c r="Y25" s="3">
        <f t="shared" si="25"/>
        <v>24272.690000000002</v>
      </c>
      <c r="Z25" s="3">
        <f t="shared" si="25"/>
        <v>18941.28</v>
      </c>
      <c r="AA25" s="3">
        <f>SUM(AA4:AA20)</f>
        <v>20657.330000000002</v>
      </c>
      <c r="AB25" s="3">
        <f t="shared" ref="AB25" si="26">SUM(AB4:AB20)</f>
        <v>23233.4</v>
      </c>
      <c r="AD25" s="3">
        <f>SUM(AD4:AD20)</f>
        <v>96705.784999999989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Siddesh Gangadharappa</dc:creator>
  <cp:lastModifiedBy>Siddesh Gangadharappa</cp:lastModifiedBy>
  <dcterms:created xsi:type="dcterms:W3CDTF">2025-12-19T23:26:13Z</dcterms:created>
  <dcterms:modified xsi:type="dcterms:W3CDTF">2026-04-25T15:41:52Z</dcterms:modified>
</cp:coreProperties>
</file>